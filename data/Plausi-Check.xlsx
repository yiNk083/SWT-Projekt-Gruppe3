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d9271c9ff5c0aaf/Desktop/Studium/Softwaretechnik/Projekt/WINF-Projekt/Uni/"/>
    </mc:Choice>
  </mc:AlternateContent>
  <xr:revisionPtr revIDLastSave="0" documentId="8_{4A0E6FE2-CD26-416B-BA9A-8359C43E0B68}" xr6:coauthVersionLast="47" xr6:coauthVersionMax="47" xr10:uidLastSave="{00000000-0000-0000-0000-000000000000}"/>
  <bookViews>
    <workbookView xWindow="4920" yWindow="1430" windowWidth="25800" windowHeight="9970" xr2:uid="{E3850C15-9E2E-45C8-B28C-0E1F9D4578C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G2" i="1"/>
  <c r="C11" i="1"/>
  <c r="R10" i="1"/>
  <c r="R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tc={489EE882-2E39-4025-B37B-77BED00BEF49}</author>
    <author>tc={FBF8B43D-FA56-4060-B9EC-19C5E4656DDC}</author>
    <author>tc={DC4E702F-68BE-47ED-B116-C6B50116EC48}</author>
  </authors>
  <commentList>
    <comment ref="C8" authorId="0" shapeId="0" xr:uid="{489EE882-2E39-4025-B37B-77BED00BEF49}">
      <text>
        <r>
          <rPr>
            <sz val="11"/>
            <color theme="1"/>
            <rFont val="Aptos Narrow"/>
            <family val="2"/>
            <scheme val="minor"/>
          </rPr>
  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LV_Kontierung_Aufwand_aktuelles_Jahr_2025-09-11_07-36-16.xlsx</t>
        </r>
      </text>
    </comment>
    <comment ref="C11" authorId="1" shapeId="0" xr:uid="{FBF8B43D-FA56-4060-B9EC-19C5E4656DDC}">
      <text>
        <r>
          <rPr>
            <sz val="11"/>
            <color theme="1"/>
            <rFont val="Aptos Narrow"/>
            <family val="2"/>
            <scheme val="minor"/>
          </rPr>
  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Berechnet für Banfen</t>
        </r>
      </text>
    </comment>
    <comment ref="R11" authorId="2" shapeId="0" xr:uid="{DC4E702F-68BE-47ED-B116-C6B50116EC48}">
      <text>
        <r>
          <rPr>
            <sz val="11"/>
            <color theme="1"/>
            <rFont val="Aptos Narrow"/>
            <family val="2"/>
            <scheme val="minor"/>
          </rPr>
  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Quelle CNB2_Bestellobligo im Detail.XLSX</t>
        </r>
      </text>
    </comment>
  </commentList>
</comments>
</file>

<file path=xl/sharedStrings.xml><?xml version="1.0" encoding="utf-8"?>
<sst xmlns="http://schemas.openxmlformats.org/spreadsheetml/2006/main" count="21" uniqueCount="19">
  <si>
    <t>Anwendung:</t>
  </si>
  <si>
    <t>DB Information</t>
  </si>
  <si>
    <t>Projekt:</t>
  </si>
  <si>
    <t>G.011803001</t>
  </si>
  <si>
    <t>Beschaffungsvorgänge:</t>
  </si>
  <si>
    <t>Nummer</t>
  </si>
  <si>
    <t>Art</t>
  </si>
  <si>
    <t>Gesamt</t>
  </si>
  <si>
    <t>CON0000000200232</t>
  </si>
  <si>
    <t>CON0000000203401</t>
  </si>
  <si>
    <t>LV</t>
  </si>
  <si>
    <t>Vertragswert</t>
  </si>
  <si>
    <t>PSP</t>
  </si>
  <si>
    <t>G.011803001.03.03</t>
  </si>
  <si>
    <t>Banf</t>
  </si>
  <si>
    <t>Restobligo</t>
  </si>
  <si>
    <t>G.011803001.02.02</t>
  </si>
  <si>
    <t>Gesamtvolumen:</t>
  </si>
  <si>
    <t>Restobligo (gesamt):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</si>
</sst>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17" fontId="0" fillId="0" borderId="0" xfId="0" applyNumberFormat="1"/>
    <xf numFmtId="44" fontId="0" fillId="0" borderId="0" xfId="1" applyFont="1"/>
    <xf numFmtId="44" fontId="0" fillId="0" borderId="0" xfId="1" applyFont="1" applyAlignment="1">
      <alignment vertical="top"/>
    </xf>
    <xf numFmtId="44" fontId="0" fillId="0" borderId="0" xfId="0" applyNumberFormat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pielvogel, Sven" id="{BC5E4B5C-3CC8-48DC-8CC2-B404F825EF5B}" userId="S::sspielvogel@bht-berlin.de::6d95352a-84ba-4c9e-83a7-cef6f277b991" providerId="AD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8" dT="2025-11-30T23:28:32.47" personId="{BC5E4B5C-3CC8-48DC-8CC2-B404F825EF5B}" id="{489EE882-2E39-4025-B37B-77BED00BEF49}">
    <text>LV_Kontierung_Aufwand_aktuelles_Jahr_2025-09-11_07-36-16.xlsx</text>
  </threadedComment>
  <threadedComment ref="C11" dT="2025-11-30T23:41:32.21" personId="{BC5E4B5C-3CC8-48DC-8CC2-B404F825EF5B}" id="{FBF8B43D-FA56-4060-B9EC-19C5E4656DDC}">
    <text>Berechnet für Banfen</text>
  </threadedComment>
  <threadedComment ref="R11" dT="2025-11-30T23:42:15.39" personId="{BC5E4B5C-3CC8-48DC-8CC2-B404F825EF5B}" id="{DC4E702F-68BE-47ED-B116-C6B50116EC48}">
    <text>Quelle CNB2_Bestellobligo im Detail.XLSX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3E8F0-7618-4613-B54F-2DEA284E56DE}">
  <dimension ref="A2:R11"/>
  <sheetViews>
    <sheetView tabSelected="1" workbookViewId="0">
      <selection activeCell="G3" sqref="G3"/>
    </sheetView>
  </sheetViews>
  <sheetFormatPr baseColWidth="10" defaultRowHeight="14.5" x14ac:dyDescent="0.35"/>
  <cols>
    <col min="1" max="1" width="23.36328125" customWidth="1"/>
    <col min="2" max="2" width="21.6328125" customWidth="1"/>
    <col min="3" max="3" width="13" customWidth="1"/>
    <col min="4" max="4" width="18.7265625" customWidth="1"/>
    <col min="5" max="5" width="11.54296875" bestFit="1" customWidth="1"/>
    <col min="6" max="6" width="17.36328125" customWidth="1"/>
    <col min="7" max="7" width="14.08984375" bestFit="1" customWidth="1"/>
    <col min="8" max="12" width="11.54296875" bestFit="1" customWidth="1"/>
    <col min="17" max="17" width="15.7265625" customWidth="1"/>
    <col min="18" max="18" width="12.54296875" bestFit="1" customWidth="1"/>
  </cols>
  <sheetData>
    <row r="2" spans="1:18" x14ac:dyDescent="0.35">
      <c r="A2" t="s">
        <v>0</v>
      </c>
      <c r="B2" t="s">
        <v>1</v>
      </c>
      <c r="C2" t="s">
        <v>2</v>
      </c>
      <c r="D2" t="s">
        <v>3</v>
      </c>
      <c r="F2" t="s">
        <v>17</v>
      </c>
      <c r="G2" s="4">
        <f>SUM(C9:C11)</f>
        <v>1138723.8</v>
      </c>
    </row>
    <row r="3" spans="1:18" x14ac:dyDescent="0.35">
      <c r="F3" t="s">
        <v>18</v>
      </c>
      <c r="G3" s="4">
        <f>SUM(R9:R11)</f>
        <v>690319.59</v>
      </c>
    </row>
    <row r="6" spans="1:18" x14ac:dyDescent="0.35">
      <c r="A6" t="s">
        <v>4</v>
      </c>
    </row>
    <row r="8" spans="1:18" x14ac:dyDescent="0.35">
      <c r="A8" t="s">
        <v>5</v>
      </c>
      <c r="B8" t="s">
        <v>6</v>
      </c>
      <c r="C8" t="s">
        <v>11</v>
      </c>
      <c r="D8" t="s">
        <v>12</v>
      </c>
      <c r="E8" s="1">
        <v>45658</v>
      </c>
      <c r="F8" s="1">
        <v>45689</v>
      </c>
      <c r="G8" s="1">
        <v>45717</v>
      </c>
      <c r="H8" s="1">
        <v>45748</v>
      </c>
      <c r="I8" s="1">
        <v>45778</v>
      </c>
      <c r="J8" s="1">
        <v>45809</v>
      </c>
      <c r="K8" s="1">
        <v>45839</v>
      </c>
      <c r="L8" s="1">
        <v>45870</v>
      </c>
      <c r="M8" s="1">
        <v>45901</v>
      </c>
      <c r="N8" s="1">
        <v>45931</v>
      </c>
      <c r="O8" s="1">
        <v>45962</v>
      </c>
      <c r="P8" s="1">
        <v>45992</v>
      </c>
      <c r="Q8" t="s">
        <v>7</v>
      </c>
      <c r="R8" t="s">
        <v>15</v>
      </c>
    </row>
    <row r="9" spans="1:18" x14ac:dyDescent="0.35">
      <c r="A9" t="s">
        <v>8</v>
      </c>
      <c r="B9" t="s">
        <v>10</v>
      </c>
      <c r="C9" s="2">
        <v>214725.24</v>
      </c>
      <c r="D9" t="s">
        <v>13</v>
      </c>
      <c r="E9" s="2">
        <v>15906.99</v>
      </c>
      <c r="F9" s="2">
        <v>18013.959999999995</v>
      </c>
      <c r="G9" s="2">
        <v>17635.3</v>
      </c>
      <c r="H9" s="2">
        <v>17141.760000000002</v>
      </c>
      <c r="I9" s="2">
        <v>17019.25</v>
      </c>
      <c r="J9" s="2">
        <v>18598.640000000003</v>
      </c>
      <c r="K9" s="2">
        <v>17421.5</v>
      </c>
      <c r="L9" s="2">
        <v>17511.760000000006</v>
      </c>
      <c r="M9" s="2"/>
      <c r="N9" s="2"/>
      <c r="O9" s="2"/>
      <c r="P9" s="2"/>
      <c r="Q9" s="2">
        <v>139249.16</v>
      </c>
      <c r="R9" s="2">
        <f>C9-Q9</f>
        <v>75476.079999999987</v>
      </c>
    </row>
    <row r="10" spans="1:18" x14ac:dyDescent="0.35">
      <c r="A10" t="s">
        <v>9</v>
      </c>
      <c r="B10" t="s">
        <v>10</v>
      </c>
      <c r="C10" s="2">
        <v>24000</v>
      </c>
      <c r="D10" t="s">
        <v>13</v>
      </c>
      <c r="E10" s="2">
        <v>2000</v>
      </c>
      <c r="F10" s="2">
        <v>2000</v>
      </c>
      <c r="G10" s="2">
        <v>2000</v>
      </c>
      <c r="H10" s="2">
        <v>2000</v>
      </c>
      <c r="I10" s="2">
        <v>2000</v>
      </c>
      <c r="J10" s="2">
        <v>2000</v>
      </c>
      <c r="K10" s="2">
        <v>2000</v>
      </c>
      <c r="L10" s="2">
        <v>2000</v>
      </c>
      <c r="M10" s="2"/>
      <c r="N10" s="2"/>
      <c r="O10" s="2"/>
      <c r="P10" s="2"/>
      <c r="Q10" s="2">
        <v>16000</v>
      </c>
      <c r="R10" s="2">
        <f>C10-Q10</f>
        <v>8000</v>
      </c>
    </row>
    <row r="11" spans="1:18" x14ac:dyDescent="0.35">
      <c r="A11">
        <v>13334913</v>
      </c>
      <c r="B11" t="s">
        <v>14</v>
      </c>
      <c r="C11" s="2">
        <f>Q11+R11</f>
        <v>899998.56</v>
      </c>
      <c r="D11" t="s">
        <v>16</v>
      </c>
      <c r="E11" s="2"/>
      <c r="F11" s="3">
        <v>14989</v>
      </c>
      <c r="G11" s="3">
        <v>35168</v>
      </c>
      <c r="H11" s="3">
        <v>59667</v>
      </c>
      <c r="I11" s="3">
        <v>36068.21</v>
      </c>
      <c r="J11" s="3">
        <v>61068</v>
      </c>
      <c r="K11" s="3">
        <v>86194.839999999982</v>
      </c>
      <c r="L11" s="2"/>
      <c r="M11" s="2"/>
      <c r="N11" s="2"/>
      <c r="O11" s="2"/>
      <c r="P11" s="2"/>
      <c r="Q11" s="3">
        <v>293155.05</v>
      </c>
      <c r="R11" s="2">
        <v>606843.51</v>
      </c>
    </row>
  </sheetData>
  <pageMargins left="0.7" right="0.7" top="0.78740157499999996" bottom="0.78740157499999996" header="0.3" footer="0.3"/>
  <pageSetup paperSize="9" orientation="portrait" horizontalDpi="300" verticalDpi="30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0DDF833E5399746999D2703FCDACE76" ma:contentTypeVersion="0" ma:contentTypeDescription="Ein neues Dokument erstellen." ma:contentTypeScope="" ma:versionID="9cabe2b4877862028a65bcfb4eb773a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62724286163d9b41ccd3c8aa01633e5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97EA93-B554-4B96-A944-ADB1D4B4F29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B3105F4-CB58-4C1E-A2E0-9F2C1BC3B0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1A6855-DA82-45A0-8276-91F36290C5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Spielvogel, Sven</dc:creator>
  <cp:lastModifiedBy>Niklas Finder</cp:lastModifiedBy>
  <dcterms:created xsi:type="dcterms:W3CDTF">2025-11-30T23:02:19Z</dcterms:created>
  <dcterms:modified xsi:type="dcterms:W3CDTF">2025-12-03T19:38:04Z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0x010100D0DDF833E5399746999D2703FCDACE76</vt:lpwstr>
  </property>
</Properties>
</file>